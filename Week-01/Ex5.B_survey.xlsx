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 hidePivotFieldList="1"/>
  <mc:AlternateContent xmlns:mc="http://schemas.openxmlformats.org/markup-compatibility/2006">
    <mc:Choice Requires="x15">
      <x15ac:absPath xmlns:x15ac="http://schemas.microsoft.com/office/spreadsheetml/2010/11/ac" url="D:\working\waccache\BN3PEPF0000C58B\EXCELCNV\8695a608-10f7-4566-97dd-b539ad94a956\"/>
    </mc:Choice>
  </mc:AlternateContent>
  <xr:revisionPtr revIDLastSave="0" documentId="8_{342C56B5-E3BD-41A1-9ED0-BCDB1D7BD628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1" sheetId="1" r:id="rId1"/>
  </sheets>
  <calcPr calcId="191028"/>
  <pivotCaches>
    <pivotCache cacheId="46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L11" i="1"/>
  <c r="K11" i="1"/>
  <c r="J11" i="1"/>
  <c r="I11" i="1"/>
  <c r="D2" i="1"/>
  <c r="D3" i="1"/>
  <c r="D4" i="1"/>
  <c r="D5" i="1"/>
  <c r="D6" i="1"/>
  <c r="D7" i="1"/>
  <c r="D8" i="1"/>
  <c r="D9" i="1"/>
  <c r="D10" i="1"/>
  <c r="D11" i="1" l="1"/>
</calcChain>
</file>

<file path=xl/sharedStrings.xml><?xml version="1.0" encoding="utf-8"?>
<sst xmlns="http://schemas.openxmlformats.org/spreadsheetml/2006/main" count="97" uniqueCount="72">
  <si>
    <t>Id</t>
  </si>
  <si>
    <t>Start time</t>
  </si>
  <si>
    <t>Completion time</t>
  </si>
  <si>
    <t xml:space="preserve">Time to Complete </t>
  </si>
  <si>
    <t>Email</t>
  </si>
  <si>
    <t>Column1</t>
  </si>
  <si>
    <t>Name</t>
  </si>
  <si>
    <t>What could use more improvement?</t>
  </si>
  <si>
    <t>How would you rate the customer service experience? From 1-5, 5 being the best and 1 being bad?</t>
  </si>
  <si>
    <t>How would you rate the drinks? From 1-5, 5 being the best and 1 being bad?</t>
  </si>
  <si>
    <t>How would you rate the food? From 1-5, 5 being the best and 1 being bad?</t>
  </si>
  <si>
    <t>How would you rate the Environment?  From 1-5, 5 being the best and 1 being bad?</t>
  </si>
  <si>
    <t>How would you rate the Entertainment/Specials(For "Regular" customers) throughout the week? From 1-5, 5 being the best and 1 being bad?</t>
  </si>
  <si>
    <t>What would you like us to improve on the most from your most recent experience? Can you provide a detailed response? The better the response, the better the experience! </t>
  </si>
  <si>
    <t>Which entertainment/Specials (For "Regular" customers) do you enjoy the most during the week? What other forms of entertainment would you like in the future?
 (Mondays: Game Night, Tuesdays: Taco Tues</t>
  </si>
  <si>
    <t xml:space="preserve">Any other input you would like to share about the business? Share below!
</t>
  </si>
  <si>
    <t>achanthadara@my.yearupunited.org</t>
  </si>
  <si>
    <t>alexus chanthadara</t>
  </si>
  <si>
    <t>Customer Service ;</t>
  </si>
  <si>
    <t>Pay the servers more</t>
  </si>
  <si>
    <t>Taco Tuesday</t>
  </si>
  <si>
    <t>Free food</t>
  </si>
  <si>
    <t>cpalacios@my.yearupunited.org</t>
  </si>
  <si>
    <t>charles palacios</t>
  </si>
  <si>
    <t>Drinks;</t>
  </si>
  <si>
    <t xml:space="preserve">I need stronger drinks! </t>
  </si>
  <si>
    <t xml:space="preserve">Thursday, drinks and singing = a good time
</t>
  </si>
  <si>
    <t>I just need stronger drinks so I can let loose</t>
  </si>
  <si>
    <t>callen@my.yearupunited.org</t>
  </si>
  <si>
    <t>corey allen</t>
  </si>
  <si>
    <t>Food;Drinks;Environment;Customer Service </t>
  </si>
  <si>
    <t>The addition of "Bottle Girls" would really improve the atmosphere of the restaurant.</t>
  </si>
  <si>
    <t>I enjoy the half off bar the most. I frequently leave the grill stumbling around!</t>
  </si>
  <si>
    <t>Awesome place. Great stuff. Will come back tomorrow.</t>
  </si>
  <si>
    <t>amartinez3@my.yearupunited.org</t>
  </si>
  <si>
    <t>alondra martinez</t>
  </si>
  <si>
    <t>Environment</t>
  </si>
  <si>
    <t>make stronger drinks plz</t>
  </si>
  <si>
    <t>karaoke!</t>
  </si>
  <si>
    <t>n/a</t>
  </si>
  <si>
    <t>tzergaw@my.yearupunited.org</t>
  </si>
  <si>
    <t>tihitina zergaw</t>
  </si>
  <si>
    <t>Customer Service </t>
  </si>
  <si>
    <t xml:space="preserve">Better customer service </t>
  </si>
  <si>
    <t xml:space="preserve">I would enjoy Fridays standup comedy the most. </t>
  </si>
  <si>
    <t>None</t>
  </si>
  <si>
    <t>BHambleton@YearUp.org</t>
  </si>
  <si>
    <t>Bess Hambleton</t>
  </si>
  <si>
    <t>Entertainment/Specials (For "Regular" customers)</t>
  </si>
  <si>
    <t>The specials are fine. But I would love to see more live entertainment, that sounds fun.</t>
  </si>
  <si>
    <t xml:space="preserve">Are food specials only supposed to be for regular customers? I don't have a rewards number or anything, but the wait staff has been giving me the specials price anyway. </t>
  </si>
  <si>
    <t>Great atmosphere, would love some more cushy seats</t>
  </si>
  <si>
    <t>smelgara@my.yearupunited.org</t>
  </si>
  <si>
    <t>smaya melgara</t>
  </si>
  <si>
    <t>Music, Would love some 2000 classics</t>
  </si>
  <si>
    <t xml:space="preserve">Half off the bar </t>
  </si>
  <si>
    <t>bcollins@my.yearupunited.org</t>
  </si>
  <si>
    <t>blake collins</t>
  </si>
  <si>
    <t xml:space="preserve">something about coffee or something I didnt read the title aha copuld I get 5 💵 </t>
  </si>
  <si>
    <t xml:space="preserve">Karaoke oh I love karaoke </t>
  </si>
  <si>
    <t>Looks good</t>
  </si>
  <si>
    <t>ntewolde1@my.yearupunited.org</t>
  </si>
  <si>
    <t>naomi tewolde</t>
  </si>
  <si>
    <t>Food</t>
  </si>
  <si>
    <t>food</t>
  </si>
  <si>
    <t>N/A</t>
  </si>
  <si>
    <t>Values</t>
  </si>
  <si>
    <t>Total Sum of How would you rate the customer service experience? From 1-5, 5 being the best and 1 being bad?</t>
  </si>
  <si>
    <t>Total Sum of How would you rate the drinks? From 1-5, 5 being the best and 1 being bad?</t>
  </si>
  <si>
    <t>Sum of How would you rate the customer service experience? From 1-5, 5 being the best and 1 being bad?</t>
  </si>
  <si>
    <t>Sum of How would you rate the drinks? From 1-5, 5 being the best and 1 being bad?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</si>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</sst>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22" fontId="0" fillId="0" borderId="0" xfId="0" applyNumberFormat="1"/>
    <xf numFmtId="22" fontId="1" fillId="2" borderId="0" xfId="0" applyNumberFormat="1" applyFont="1" applyFill="1"/>
    <xf numFmtId="0" fontId="1" fillId="2" borderId="0" xfId="0" applyFont="1" applyFill="1"/>
    <xf numFmtId="45" fontId="1" fillId="2" borderId="0" xfId="0" applyNumberFormat="1" applyFont="1" applyFill="1"/>
    <xf numFmtId="45" fontId="0" fillId="0" borderId="0" xfId="0" applyNumberFormat="1"/>
    <xf numFmtId="45" fontId="0" fillId="2" borderId="0" xfId="0" applyNumberFormat="1" applyFill="1"/>
    <xf numFmtId="0" fontId="0" fillId="2" borderId="0" xfId="0" applyFill="1"/>
    <xf numFmtId="0" fontId="0" fillId="0" borderId="0" xfId="0" pivotButton="1"/>
  </cellXfs>
  <cellStyles count="1">
    <cellStyle name="Normal" xfId="0" builtinId="0"/>
  </cellStyles>
  <dxfs count="3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28" formatCode="mm:ss"/>
      <fill>
        <patternFill patternType="solid">
          <fgColor indexed="64"/>
          <bgColor rgb="FFFFFF00"/>
        </patternFill>
      </fill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4.573401967595" createdVersion="8" refreshedVersion="8" minRefreshableVersion="3" recordCount="9" xr:uid="{42E53CA5-D18F-4725-A932-E38A39AB74FD}">
  <cacheSource type="worksheet">
    <worksheetSource ref="A1:P10" sheet="Sheet1"/>
  </cacheSource>
  <cacheFields count="16">
    <cacheField name="Id" numFmtId="0">
      <sharedItems containsSemiMixedTypes="0" containsString="0" containsNumber="1" containsInteger="1" minValue="1" maxValue="9"/>
    </cacheField>
    <cacheField name="Start time" numFmtId="22">
      <sharedItems containsSemiMixedTypes="0" containsNonDate="0" containsDate="1" containsString="0" minDate="2026-04-09T12:51:10" maxDate="2026-04-11T16:11:09"/>
    </cacheField>
    <cacheField name="Completion time" numFmtId="22">
      <sharedItems containsSemiMixedTypes="0" containsNonDate="0" containsDate="1" containsString="0" minDate="2026-04-09T12:52:34" maxDate="2026-04-11T16:12:30" count="9">
        <d v="2026-04-09T12:52:34"/>
        <d v="2026-04-09T12:53:16"/>
        <d v="2026-04-09T13:06:37"/>
        <d v="2026-04-09T14:47:33"/>
        <d v="2026-04-09T16:00:23"/>
        <d v="2026-04-10T08:44:07"/>
        <d v="2026-04-10T11:11:11"/>
        <d v="2026-04-10T11:59:52"/>
        <d v="2026-04-11T16:12:30"/>
      </sharedItems>
    </cacheField>
    <cacheField name="Time to Complete " numFmtId="45">
      <sharedItems containsSemiMixedTypes="0" containsNonDate="0" containsDate="1" containsString="0" minDate="1899-12-30T00:00:41" maxDate="1899-12-30T00:04:01"/>
    </cacheField>
    <cacheField name="Email" numFmtId="0">
      <sharedItems count="9">
        <s v="achanthadara@my.yearupunited.org"/>
        <s v="cpalacios@my.yearupunited.org"/>
        <s v="callen@my.yearupunited.org"/>
        <s v="amartinez3@my.yearupunited.org"/>
        <s v="tzergaw@my.yearupunited.org"/>
        <s v="BHambleton@YearUp.org"/>
        <s v="smelgara@my.yearupunited.org"/>
        <s v="bcollins@my.yearupunited.org"/>
        <s v="ntewolde1@my.yearupunited.org"/>
      </sharedItems>
    </cacheField>
    <cacheField name="Column1" numFmtId="0">
      <sharedItems containsNonDate="0" containsString="0" containsBlank="1"/>
    </cacheField>
    <cacheField name="Name" numFmtId="0">
      <sharedItems count="9">
        <s v="alexus chanthadara"/>
        <s v="charles palacios"/>
        <s v="corey allen"/>
        <s v="alondra martinez"/>
        <s v="tihitina zergaw"/>
        <s v="Bess Hambleton"/>
        <s v="smaya melgara"/>
        <s v="blake collins"/>
        <s v="naomi tewolde"/>
      </sharedItems>
    </cacheField>
    <cacheField name="What could use more improvement?" numFmtId="0">
      <sharedItems count="7">
        <s v="Customer Service ;"/>
        <s v="Drinks;"/>
        <s v="Food;Drinks;Environment;Customer Service "/>
        <s v="Environment"/>
        <s v="Customer Service "/>
        <s v="Entertainment/Specials (For &quot;Regular&quot; customers)"/>
        <s v="Food"/>
      </sharedItems>
    </cacheField>
    <cacheField name="How would you rate the customer service experience? From 1-5, 5 being the best and 1 being bad?" numFmtId="0">
      <sharedItems containsSemiMixedTypes="0" containsString="0" containsNumber="1" containsInteger="1" minValue="1" maxValue="5"/>
    </cacheField>
    <cacheField name="How would you rate the drinks? From 1-5, 5 being the best and 1 being bad?" numFmtId="0">
      <sharedItems containsSemiMixedTypes="0" containsString="0" containsNumber="1" containsInteger="1" minValue="1" maxValue="5"/>
    </cacheField>
    <cacheField name="How would you rate the food? From 1-5, 5 being the best and 1 being bad?" numFmtId="0">
      <sharedItems containsSemiMixedTypes="0" containsString="0" containsNumber="1" containsInteger="1" minValue="3" maxValue="5"/>
    </cacheField>
    <cacheField name="How would you rate the Environment?  From 1-5, 5 being the best and 1 being bad?" numFmtId="0">
      <sharedItems containsSemiMixedTypes="0" containsString="0" containsNumber="1" containsInteger="1" minValue="3" maxValue="5"/>
    </cacheField>
    <cacheField name="How would you rate the Entertainment/Specials(For &quot;Regular&quot; customers) throughout the week? From 1-5, 5 being the best and 1 being bad?" numFmtId="0">
      <sharedItems containsSemiMixedTypes="0" containsString="0" containsNumber="1" containsInteger="1" minValue="1" maxValue="5"/>
    </cacheField>
    <cacheField name="What would you like us to improve on the most from your most recent experience? Can you provide a detailed response? The better the response, the better the experience! " numFmtId="0">
      <sharedItems/>
    </cacheField>
    <cacheField name="Which entertainment/Specials (For &quot;Regular&quot; customers) do you enjoy the most during the week? What other forms of entertainment would you like in the future?_x000a_ (Mondays: Game Night, Tuesdays: Taco Tues" numFmtId="0">
      <sharedItems/>
    </cacheField>
    <cacheField name="Any other input you would like to share about the business? Share below!_x000a_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d v="2026-04-09T12:51:10"/>
    <x v="0"/>
    <d v="1899-12-30T00:01:24"/>
    <x v="0"/>
    <m/>
    <x v="0"/>
    <x v="0"/>
    <n v="5"/>
    <n v="5"/>
    <n v="5"/>
    <n v="5"/>
    <n v="5"/>
    <s v="Pay the servers more"/>
    <s v="Taco Tuesday"/>
    <s v="Free food"/>
  </r>
  <r>
    <n v="2"/>
    <d v="2026-04-09T12:52:03"/>
    <x v="1"/>
    <d v="1899-12-30T00:01:13"/>
    <x v="1"/>
    <m/>
    <x v="1"/>
    <x v="1"/>
    <n v="5"/>
    <n v="3"/>
    <n v="5"/>
    <n v="4"/>
    <n v="5"/>
    <s v="I need stronger drinks! "/>
    <s v="Thursday, drinks and singing = a good time_x000a_"/>
    <s v="I just need stronger drinks so I can let loose"/>
  </r>
  <r>
    <n v="3"/>
    <d v="2026-04-09T13:04:43"/>
    <x v="2"/>
    <d v="1899-12-30T00:01:54"/>
    <x v="2"/>
    <m/>
    <x v="2"/>
    <x v="2"/>
    <n v="1"/>
    <n v="1"/>
    <n v="3"/>
    <n v="5"/>
    <n v="2"/>
    <s v="The addition of &quot;Bottle Girls&quot; would really improve the atmosphere of the restaurant."/>
    <s v="I enjoy the half off bar the most. I frequently leave the grill stumbling around!"/>
    <s v="Awesome place. Great stuff. Will come back tomorrow."/>
  </r>
  <r>
    <n v="4"/>
    <d v="2026-04-09T14:46:52"/>
    <x v="3"/>
    <d v="1899-12-30T00:00:41"/>
    <x v="3"/>
    <m/>
    <x v="3"/>
    <x v="3"/>
    <n v="5"/>
    <n v="4"/>
    <n v="4"/>
    <n v="4"/>
    <n v="5"/>
    <s v="make stronger drinks plz"/>
    <s v="karaoke!"/>
    <s v="n/a"/>
  </r>
  <r>
    <n v="5"/>
    <d v="2026-04-09T15:56:22"/>
    <x v="4"/>
    <d v="1899-12-30T00:04:01"/>
    <x v="4"/>
    <m/>
    <x v="4"/>
    <x v="4"/>
    <n v="3"/>
    <n v="4"/>
    <n v="4"/>
    <n v="3"/>
    <n v="4"/>
    <s v="Better customer service "/>
    <s v="I would enjoy Fridays standup comedy the most. "/>
    <s v="None"/>
  </r>
  <r>
    <n v="6"/>
    <d v="2026-04-10T08:40:32"/>
    <x v="5"/>
    <d v="1899-12-30T00:03:35"/>
    <x v="5"/>
    <m/>
    <x v="5"/>
    <x v="5"/>
    <n v="5"/>
    <n v="5"/>
    <n v="5"/>
    <n v="5"/>
    <n v="3"/>
    <s v="The specials are fine. But I would love to see more live entertainment, that sounds fun."/>
    <s v="Are food specials only supposed to be for regular customers? I don't have a rewards number or anything, but the wait staff has been giving me the specials price anyway. "/>
    <s v="Great atmosphere, would love some more cushy seats"/>
  </r>
  <r>
    <n v="7"/>
    <d v="2026-04-10T11:09:27"/>
    <x v="6"/>
    <d v="1899-12-30T00:01:44"/>
    <x v="6"/>
    <m/>
    <x v="6"/>
    <x v="3"/>
    <n v="5"/>
    <n v="5"/>
    <n v="5"/>
    <n v="4"/>
    <n v="5"/>
    <s v="Music, Would love some 2000 classics"/>
    <s v="Half off the bar "/>
    <s v="n/a"/>
  </r>
  <r>
    <n v="8"/>
    <d v="2026-04-10T11:58:03"/>
    <x v="7"/>
    <d v="1899-12-30T00:01:49"/>
    <x v="7"/>
    <m/>
    <x v="7"/>
    <x v="5"/>
    <n v="5"/>
    <n v="5"/>
    <n v="5"/>
    <n v="5"/>
    <n v="1"/>
    <s v="something about coffee or something I didnt read the title aha copuld I get 5 💵 "/>
    <s v="Karaoke oh I love karaoke "/>
    <s v="Looks good"/>
  </r>
  <r>
    <n v="9"/>
    <d v="2026-04-11T16:11:09"/>
    <x v="8"/>
    <d v="1899-12-30T00:01:21"/>
    <x v="8"/>
    <m/>
    <x v="8"/>
    <x v="6"/>
    <n v="5"/>
    <n v="5"/>
    <n v="5"/>
    <n v="5"/>
    <n v="5"/>
    <s v="food"/>
    <s v="Taco Tuesday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C2EBF-3EA6-4BB8-85F2-7BF4FE16E1B3}" name="PivotTable1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G13:W25" firstHeaderRow="1" firstDataRow="3" firstDataCol="1"/>
  <pivotFields count="16">
    <pivotField compact="0" outline="0" showAll="0"/>
    <pivotField compact="0" numFmtId="22" outline="0" showAll="0"/>
    <pivotField axis="axisRow" compact="0" numFmtId="22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45" outline="0" showAll="0"/>
    <pivotField compact="0" outline="0" showAll="0">
      <items count="10">
        <item x="0"/>
        <item x="3"/>
        <item x="7"/>
        <item x="5"/>
        <item x="2"/>
        <item x="1"/>
        <item x="8"/>
        <item x="6"/>
        <item x="4"/>
        <item t="default"/>
      </items>
    </pivotField>
    <pivotField compact="0" outline="0" showAll="0"/>
    <pivotField compact="0" outline="0" showAll="0">
      <items count="10">
        <item x="0"/>
        <item x="3"/>
        <item x="5"/>
        <item x="7"/>
        <item x="1"/>
        <item x="2"/>
        <item x="8"/>
        <item x="6"/>
        <item x="4"/>
        <item t="default"/>
      </items>
    </pivotField>
    <pivotField axis="axisCol" compact="0" outline="0" showAll="0">
      <items count="8">
        <item x="4"/>
        <item x="0"/>
        <item x="1"/>
        <item x="5"/>
        <item x="3"/>
        <item x="6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7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Sum of How would you rate the customer service experience? From 1-5, 5 being the best and 1 being bad?" fld="8" baseField="0" baseItem="0"/>
    <dataField name="Sum of How would you rate the drinks? From 1-5, 5 being the best and 1 being bad?" fld="9" baseField="0" baseItem="0"/>
  </dataFields>
  <chartFormats count="84"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3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6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4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7" format="2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3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8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3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8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3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8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8" format="4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11" totalsRowCount="1">
  <autoFilter ref="A1:P10" xr:uid="{00000000-0009-0000-0100-000001000000}"/>
  <tableColumns count="16">
    <tableColumn id="1" xr3:uid="{00000000-0010-0000-0000-000001000000}" name="Id" dataDxfId="28" totalsRowDxfId="2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6" totalsRowDxfId="27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16" xr3:uid="{ED06227E-E17D-4803-BDFF-0ADF2CF2F5AA}" name="Time to Complete " totalsRowFunction="custom" dataDxfId="24" totalsRowDxfId="25">
      <calculatedColumnFormula xml:space="preserve"> C2-B2</calculatedColumnFormula>
      <totalsRowFormula xml:space="preserve"> AVERAGE(D2:D10)</totalsRowFormula>
    </tableColumn>
    <tableColumn id="4" xr3:uid="{00000000-0010-0000-0000-000004000000}" name="Email" dataDxfId="22" totalsRowDxfId="23">
      <extLst>
        <ext xmlns:xlmsforms="http://schemas.microsoft.com/office/spreadsheetml/2023/msForms" uri="{FCC71383-01E1-4257-9335-427F07BE8D7F}">
          <xlmsforms:question id="responder"/>
        </ext>
      </extLst>
    </tableColumn>
    <tableColumn id="15" xr3:uid="{C38D7FFB-3751-42EE-9449-C8BEFA10E4CF}" name="Column1" dataDxfId="20" totalsRowDxfId="21"/>
    <tableColumn id="5" xr3:uid="{00000000-0010-0000-0000-000005000000}" name="Name" dataDxfId="18" totalsRowDxfId="1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could use more improvement?" dataDxfId="16" totalsRowDxfId="17">
      <extLst>
        <ext xmlns:xlmsforms="http://schemas.microsoft.com/office/spreadsheetml/2023/msForms" uri="{FCC71383-01E1-4257-9335-427F07BE8D7F}">
          <xlmsforms:question id="rf921e3f8ae3e46e6a55f5b95f5fc58f9"/>
        </ext>
      </extLst>
    </tableColumn>
    <tableColumn id="7" xr3:uid="{00000000-0010-0000-0000-000007000000}" name="How would you rate the customer service experience? From 1-5, 5 being the best and 1 being bad?" totalsRowFunction="custom" dataDxfId="14" totalsRowDxfId="15">
      <totalsRowFormula xml:space="preserve"> AVERAGE(I2:I10)</totalsRowFormula>
      <extLst>
        <ext xmlns:xlmsforms="http://schemas.microsoft.com/office/spreadsheetml/2023/msForms" uri="{FCC71383-01E1-4257-9335-427F07BE8D7F}">
          <xlmsforms:question id="rf72f8a05306d4bf88e169920f27ae380"/>
        </ext>
      </extLst>
    </tableColumn>
    <tableColumn id="8" xr3:uid="{00000000-0010-0000-0000-000008000000}" name="How would you rate the drinks? From 1-5, 5 being the best and 1 being bad?" totalsRowFunction="custom" dataDxfId="12" totalsRowDxfId="13">
      <totalsRowFormula xml:space="preserve"> AVERAGE(J2:J10)</totalsRowFormula>
      <extLst>
        <ext xmlns:xlmsforms="http://schemas.microsoft.com/office/spreadsheetml/2023/msForms" uri="{FCC71383-01E1-4257-9335-427F07BE8D7F}">
          <xlmsforms:question id="r92345eeb6b754687a28d3d1a0e3c0f6b"/>
        </ext>
      </extLst>
    </tableColumn>
    <tableColumn id="9" xr3:uid="{00000000-0010-0000-0000-000009000000}" name="How would you rate the food? From 1-5, 5 being the best and 1 being bad?" totalsRowFunction="custom" dataDxfId="10" totalsRowDxfId="11">
      <totalsRowFormula xml:space="preserve"> AVERAGE(K2:K10)</totalsRowFormula>
      <extLst>
        <ext xmlns:xlmsforms="http://schemas.microsoft.com/office/spreadsheetml/2023/msForms" uri="{FCC71383-01E1-4257-9335-427F07BE8D7F}">
          <xlmsforms:question id="r8311e85fa03d43dfb1261f38e8fbd81e"/>
        </ext>
      </extLst>
    </tableColumn>
    <tableColumn id="10" xr3:uid="{00000000-0010-0000-0000-00000A000000}" name="How would you rate the Environment?  From 1-5, 5 being the best and 1 being bad?" totalsRowFunction="custom" dataDxfId="8" totalsRowDxfId="9">
      <totalsRowFormula>AVERAGE(L2:L10)</totalsRowFormula>
      <extLst>
        <ext xmlns:xlmsforms="http://schemas.microsoft.com/office/spreadsheetml/2023/msForms" uri="{FCC71383-01E1-4257-9335-427F07BE8D7F}">
          <xlmsforms:question id="r3b668f7bfc7d452b8c3f36f208fdfa46"/>
        </ext>
      </extLst>
    </tableColumn>
    <tableColumn id="11" xr3:uid="{00000000-0010-0000-0000-00000B000000}" name="How would you rate the Entertainment/Specials(For &quot;Regular&quot; customers) throughout the week? From 1-5, 5 being the best and 1 being bad?" totalsRowFunction="custom" dataDxfId="6" totalsRowDxfId="7">
      <totalsRowFormula>AVERAGE(M2:M10)</totalsRowFormula>
      <extLst>
        <ext xmlns:xlmsforms="http://schemas.microsoft.com/office/spreadsheetml/2023/msForms" uri="{FCC71383-01E1-4257-9335-427F07BE8D7F}">
          <xlmsforms:question id="ra6422dd953f54e80b73ff3844658611d"/>
        </ext>
      </extLst>
    </tableColumn>
    <tableColumn id="12" xr3:uid="{00000000-0010-0000-0000-00000C000000}" name="What would you like us to improve on the most from your most recent experience? Can you provide a detailed response? The better the response, the better the experience! " dataDxfId="4" totalsRowDxfId="5">
      <extLst>
        <ext xmlns:xlmsforms="http://schemas.microsoft.com/office/spreadsheetml/2023/msForms" uri="{FCC71383-01E1-4257-9335-427F07BE8D7F}">
          <xlmsforms:question id="r814fb635d6a540deaf5bcad6561758e7"/>
        </ext>
      </extLst>
    </tableColumn>
    <tableColumn id="13" xr3:uid="{00000000-0010-0000-0000-00000D000000}" name="Which entertainment/Specials (For &quot;Regular&quot; customers) do you enjoy the most during the week? What other forms of entertainment would you like in the future?_x000a_ (Mondays: Game Night, Tuesdays: Taco Tues" dataDxfId="2" totalsRowDxfId="3">
      <extLst>
        <ext xmlns:xlmsforms="http://schemas.microsoft.com/office/spreadsheetml/2023/msForms" uri="{FCC71383-01E1-4257-9335-427F07BE8D7F}">
          <xlmsforms:question id="r4947287b45ae425bb3156a0cd5bd1e2a"/>
        </ext>
      </extLst>
    </tableColumn>
    <tableColumn id="14" xr3:uid="{00000000-0010-0000-0000-00000E000000}" name="Any other input you would like to share about the business? Share below!_x000a_" dataDxfId="0" totalsRowDxfId="1">
      <extLst>
        <ext xmlns:xlmsforms="http://schemas.microsoft.com/office/spreadsheetml/2023/msForms" uri="{FCC71383-01E1-4257-9335-427F07BE8D7F}">
          <xlmsforms:question id="r3d144d899adc4c78bc83d93f7370e01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0CII5asrExAhugNFrCQYdJURTFXNEFZS0gxMUpMSEpCM1pKQVg3R1MzQS4u" isFormConnected="1" maxResponseId="9" latestEventMarker="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rf921e3f8ae3e46e6a55f5b95f5fc58f9</xlmsforms:syncedQuestionId>
        <xlmsforms:syncedQuestionId>rf72f8a05306d4bf88e169920f27ae380</xlmsforms:syncedQuestionId>
        <xlmsforms:syncedQuestionId>r92345eeb6b754687a28d3d1a0e3c0f6b</xlmsforms:syncedQuestionId>
        <xlmsforms:syncedQuestionId>r8311e85fa03d43dfb1261f38e8fbd81e</xlmsforms:syncedQuestionId>
        <xlmsforms:syncedQuestionId>r3b668f7bfc7d452b8c3f36f208fdfa46</xlmsforms:syncedQuestionId>
        <xlmsforms:syncedQuestionId>ra6422dd953f54e80b73ff3844658611d</xlmsforms:syncedQuestionId>
        <xlmsforms:syncedQuestionId>r814fb635d6a540deaf5bcad6561758e7</xlmsforms:syncedQuestionId>
        <xlmsforms:syncedQuestionId>r4947287b45ae425bb3156a0cd5bd1e2a</xlmsforms:syncedQuestionId>
        <xlmsforms:syncedQuestionId>r3d144d899adc4c78bc83d93f7370e014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topLeftCell="M1" workbookViewId="0">
      <selection activeCell="B1" sqref="B1:M11"/>
    </sheetView>
  </sheetViews>
  <sheetFormatPr defaultRowHeight="15"/>
  <cols>
    <col min="1" max="1" width="21" bestFit="1" customWidth="1"/>
    <col min="2" max="2" width="141" style="2" bestFit="1" customWidth="1"/>
    <col min="3" max="3" width="81.140625" bestFit="1" customWidth="1"/>
    <col min="4" max="4" width="76.7109375" style="6" customWidth="1"/>
    <col min="5" max="5" width="21" bestFit="1" customWidth="1"/>
    <col min="6" max="6" width="141" customWidth="1"/>
    <col min="7" max="7" width="19.42578125" bestFit="1" customWidth="1"/>
    <col min="8" max="8" width="98.28515625" bestFit="1" customWidth="1"/>
    <col min="9" max="9" width="77.85546875" bestFit="1" customWidth="1"/>
    <col min="10" max="10" width="98.28515625" bestFit="1" customWidth="1"/>
    <col min="11" max="11" width="77.85546875" customWidth="1"/>
    <col min="12" max="12" width="98.28515625" customWidth="1"/>
    <col min="13" max="13" width="77.85546875" customWidth="1"/>
    <col min="14" max="14" width="98.28515625" customWidth="1"/>
    <col min="15" max="15" width="77.85546875" customWidth="1"/>
    <col min="16" max="16" width="98.28515625" customWidth="1"/>
    <col min="17" max="17" width="77.85546875" bestFit="1" customWidth="1"/>
    <col min="18" max="18" width="98.28515625" bestFit="1" customWidth="1"/>
    <col min="19" max="19" width="77.85546875" bestFit="1" customWidth="1"/>
    <col min="20" max="20" width="98.28515625" bestFit="1" customWidth="1"/>
    <col min="21" max="21" width="77.85546875" bestFit="1" customWidth="1"/>
    <col min="22" max="22" width="103.28515625" bestFit="1" customWidth="1"/>
    <col min="23" max="23" width="82.7109375" bestFit="1" customWidth="1"/>
    <col min="24" max="24" width="44.5703125" bestFit="1" customWidth="1"/>
    <col min="25" max="25" width="76.7109375" bestFit="1" customWidth="1"/>
    <col min="26" max="26" width="84.5703125" bestFit="1" customWidth="1"/>
    <col min="27" max="27" width="137.7109375" bestFit="1" customWidth="1"/>
    <col min="28" max="28" width="43" bestFit="1" customWidth="1"/>
    <col min="29" max="29" width="76.7109375" bestFit="1" customWidth="1"/>
    <col min="30" max="30" width="84.5703125" bestFit="1" customWidth="1"/>
    <col min="31" max="31" width="137.7109375" bestFit="1" customWidth="1"/>
    <col min="32" max="32" width="43" bestFit="1" customWidth="1"/>
    <col min="33" max="33" width="76.7109375" bestFit="1" customWidth="1"/>
    <col min="34" max="34" width="84.5703125" bestFit="1" customWidth="1"/>
    <col min="35" max="35" width="137.7109375" bestFit="1" customWidth="1"/>
    <col min="36" max="36" width="43" bestFit="1" customWidth="1"/>
    <col min="37" max="37" width="78.28515625" bestFit="1" customWidth="1"/>
    <col min="38" max="38" width="86.140625" bestFit="1" customWidth="1"/>
    <col min="39" max="39" width="139.28515625" bestFit="1" customWidth="1"/>
    <col min="40" max="40" width="44.5703125" bestFit="1" customWidth="1"/>
    <col min="41" max="41" width="81.85546875" bestFit="1" customWidth="1"/>
    <col min="42" max="42" width="89.5703125" bestFit="1" customWidth="1"/>
    <col min="43" max="43" width="142.7109375" bestFit="1" customWidth="1"/>
    <col min="44" max="44" width="48.28515625" bestFit="1" customWidth="1"/>
  </cols>
  <sheetData>
    <row r="1" spans="1:23">
      <c r="A1" t="s">
        <v>0</v>
      </c>
      <c r="B1" s="3" t="s">
        <v>1</v>
      </c>
      <c r="C1" s="4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3">
      <c r="A2">
        <v>1</v>
      </c>
      <c r="B2" s="2">
        <v>46121.535532407404</v>
      </c>
      <c r="C2" s="2">
        <v>46121.536504629628</v>
      </c>
      <c r="D2" s="6">
        <f t="shared" ref="D2:D10" si="0" xml:space="preserve"> C2-B2</f>
        <v>9.7222222393611446E-4</v>
      </c>
      <c r="E2" t="s">
        <v>16</v>
      </c>
      <c r="G2" t="s">
        <v>17</v>
      </c>
      <c r="H2" t="s">
        <v>18</v>
      </c>
      <c r="I2">
        <v>5</v>
      </c>
      <c r="J2">
        <v>5</v>
      </c>
      <c r="K2">
        <v>5</v>
      </c>
      <c r="L2">
        <v>5</v>
      </c>
      <c r="M2">
        <v>5</v>
      </c>
      <c r="N2" t="s">
        <v>19</v>
      </c>
      <c r="O2" t="s">
        <v>20</v>
      </c>
      <c r="P2" t="s">
        <v>21</v>
      </c>
    </row>
    <row r="3" spans="1:23">
      <c r="A3">
        <v>2</v>
      </c>
      <c r="B3" s="2">
        <v>46121.536145833335</v>
      </c>
      <c r="C3" s="2">
        <v>46121.536990740744</v>
      </c>
      <c r="D3" s="6">
        <f t="shared" si="0"/>
        <v>8.4490740846376866E-4</v>
      </c>
      <c r="E3" t="s">
        <v>22</v>
      </c>
      <c r="G3" t="s">
        <v>23</v>
      </c>
      <c r="H3" t="s">
        <v>24</v>
      </c>
      <c r="I3">
        <v>5</v>
      </c>
      <c r="J3">
        <v>3</v>
      </c>
      <c r="K3">
        <v>5</v>
      </c>
      <c r="L3">
        <v>4</v>
      </c>
      <c r="M3">
        <v>5</v>
      </c>
      <c r="N3" t="s">
        <v>25</v>
      </c>
      <c r="O3" t="s">
        <v>26</v>
      </c>
      <c r="P3" t="s">
        <v>27</v>
      </c>
    </row>
    <row r="4" spans="1:23">
      <c r="A4">
        <v>3</v>
      </c>
      <c r="B4" s="2">
        <v>46121.5449421296</v>
      </c>
      <c r="C4" s="2">
        <v>46121.546261574098</v>
      </c>
      <c r="D4" s="6">
        <f t="shared" si="0"/>
        <v>1.3194444982218556E-3</v>
      </c>
      <c r="E4" s="1" t="s">
        <v>28</v>
      </c>
      <c r="F4" s="1"/>
      <c r="G4" s="1" t="s">
        <v>29</v>
      </c>
      <c r="H4" s="1" t="s">
        <v>30</v>
      </c>
      <c r="I4">
        <v>1</v>
      </c>
      <c r="J4">
        <v>1</v>
      </c>
      <c r="K4">
        <v>3</v>
      </c>
      <c r="L4">
        <v>5</v>
      </c>
      <c r="M4">
        <v>2</v>
      </c>
      <c r="N4" s="1" t="s">
        <v>31</v>
      </c>
      <c r="O4" s="1" t="s">
        <v>32</v>
      </c>
      <c r="P4" s="1" t="s">
        <v>33</v>
      </c>
    </row>
    <row r="5" spans="1:23">
      <c r="A5">
        <v>4</v>
      </c>
      <c r="B5" s="2">
        <v>46121.6158796296</v>
      </c>
      <c r="C5" s="2">
        <v>46121.616354166697</v>
      </c>
      <c r="D5" s="6">
        <f t="shared" si="0"/>
        <v>4.7453709703404456E-4</v>
      </c>
      <c r="E5" s="1" t="s">
        <v>34</v>
      </c>
      <c r="F5" s="1"/>
      <c r="G5" s="1" t="s">
        <v>35</v>
      </c>
      <c r="H5" s="1" t="s">
        <v>36</v>
      </c>
      <c r="I5">
        <v>5</v>
      </c>
      <c r="J5">
        <v>4</v>
      </c>
      <c r="K5">
        <v>4</v>
      </c>
      <c r="L5">
        <v>4</v>
      </c>
      <c r="M5">
        <v>5</v>
      </c>
      <c r="N5" s="1" t="s">
        <v>37</v>
      </c>
      <c r="O5" s="1" t="s">
        <v>38</v>
      </c>
      <c r="P5" s="1" t="s">
        <v>39</v>
      </c>
    </row>
    <row r="6" spans="1:23">
      <c r="A6">
        <v>5</v>
      </c>
      <c r="B6" s="2">
        <v>46121.664143518501</v>
      </c>
      <c r="C6" s="2">
        <v>46121.666932870401</v>
      </c>
      <c r="D6" s="6">
        <f t="shared" si="0"/>
        <v>2.7893518999917433E-3</v>
      </c>
      <c r="E6" s="1" t="s">
        <v>40</v>
      </c>
      <c r="F6" s="1"/>
      <c r="G6" s="1" t="s">
        <v>41</v>
      </c>
      <c r="H6" s="1" t="s">
        <v>42</v>
      </c>
      <c r="I6">
        <v>3</v>
      </c>
      <c r="J6">
        <v>4</v>
      </c>
      <c r="K6">
        <v>4</v>
      </c>
      <c r="L6">
        <v>3</v>
      </c>
      <c r="M6">
        <v>4</v>
      </c>
      <c r="N6" s="1" t="s">
        <v>43</v>
      </c>
      <c r="O6" s="1" t="s">
        <v>44</v>
      </c>
      <c r="P6" s="1" t="s">
        <v>45</v>
      </c>
    </row>
    <row r="7" spans="1:23">
      <c r="A7">
        <v>6</v>
      </c>
      <c r="B7" s="2">
        <v>46122.361481481501</v>
      </c>
      <c r="C7" s="2">
        <v>46122.363969907397</v>
      </c>
      <c r="D7" s="6">
        <f t="shared" si="0"/>
        <v>2.4884258964448236E-3</v>
      </c>
      <c r="E7" s="1" t="s">
        <v>46</v>
      </c>
      <c r="F7" s="1"/>
      <c r="G7" s="1" t="s">
        <v>47</v>
      </c>
      <c r="H7" s="1" t="s">
        <v>48</v>
      </c>
      <c r="I7">
        <v>5</v>
      </c>
      <c r="J7">
        <v>5</v>
      </c>
      <c r="K7">
        <v>5</v>
      </c>
      <c r="L7">
        <v>5</v>
      </c>
      <c r="M7">
        <v>3</v>
      </c>
      <c r="N7" s="1" t="s">
        <v>49</v>
      </c>
      <c r="O7" s="1" t="s">
        <v>50</v>
      </c>
      <c r="P7" s="1" t="s">
        <v>51</v>
      </c>
    </row>
    <row r="8" spans="1:23">
      <c r="A8">
        <v>7</v>
      </c>
      <c r="B8" s="2">
        <v>46122.464895833298</v>
      </c>
      <c r="C8" s="2">
        <v>46122.466099537</v>
      </c>
      <c r="D8" s="6">
        <f t="shared" si="0"/>
        <v>1.2037037013215013E-3</v>
      </c>
      <c r="E8" s="1" t="s">
        <v>52</v>
      </c>
      <c r="F8" s="1"/>
      <c r="G8" s="1" t="s">
        <v>53</v>
      </c>
      <c r="H8" s="1" t="s">
        <v>36</v>
      </c>
      <c r="I8">
        <v>5</v>
      </c>
      <c r="J8">
        <v>5</v>
      </c>
      <c r="K8">
        <v>5</v>
      </c>
      <c r="L8">
        <v>4</v>
      </c>
      <c r="M8">
        <v>5</v>
      </c>
      <c r="N8" s="1" t="s">
        <v>54</v>
      </c>
      <c r="O8" s="1" t="s">
        <v>55</v>
      </c>
      <c r="P8" s="1" t="s">
        <v>39</v>
      </c>
    </row>
    <row r="9" spans="1:23">
      <c r="A9">
        <v>8</v>
      </c>
      <c r="B9" s="2">
        <v>46122.498645833301</v>
      </c>
      <c r="C9" s="2">
        <v>46122.4999074074</v>
      </c>
      <c r="D9" s="6">
        <f t="shared" si="0"/>
        <v>1.2615740997716784E-3</v>
      </c>
      <c r="E9" s="1" t="s">
        <v>56</v>
      </c>
      <c r="F9" s="1"/>
      <c r="G9" s="1" t="s">
        <v>57</v>
      </c>
      <c r="H9" s="1" t="s">
        <v>48</v>
      </c>
      <c r="I9">
        <v>5</v>
      </c>
      <c r="J9">
        <v>5</v>
      </c>
      <c r="K9">
        <v>5</v>
      </c>
      <c r="L9">
        <v>5</v>
      </c>
      <c r="M9">
        <v>1</v>
      </c>
      <c r="N9" s="1" t="s">
        <v>58</v>
      </c>
      <c r="O9" s="1" t="s">
        <v>59</v>
      </c>
      <c r="P9" s="1" t="s">
        <v>60</v>
      </c>
    </row>
    <row r="10" spans="1:23">
      <c r="A10">
        <v>9</v>
      </c>
      <c r="B10" s="2">
        <v>46123.674409722204</v>
      </c>
      <c r="C10" s="2">
        <v>46123.675347222197</v>
      </c>
      <c r="D10" s="6">
        <f t="shared" si="0"/>
        <v>9.374999935971573E-4</v>
      </c>
      <c r="E10" s="1" t="s">
        <v>61</v>
      </c>
      <c r="F10" s="1"/>
      <c r="G10" s="1" t="s">
        <v>62</v>
      </c>
      <c r="H10" s="1" t="s">
        <v>63</v>
      </c>
      <c r="I10">
        <v>5</v>
      </c>
      <c r="J10">
        <v>5</v>
      </c>
      <c r="K10">
        <v>5</v>
      </c>
      <c r="L10">
        <v>5</v>
      </c>
      <c r="M10">
        <v>5</v>
      </c>
      <c r="N10" s="1" t="s">
        <v>64</v>
      </c>
      <c r="O10" s="1" t="s">
        <v>20</v>
      </c>
      <c r="P10" s="1" t="s">
        <v>65</v>
      </c>
    </row>
    <row r="11" spans="1:23">
      <c r="D11" s="7">
        <f xml:space="preserve"> AVERAGE(D2:D10)</f>
        <v>1.3657407576425208E-3</v>
      </c>
      <c r="E11" s="1"/>
      <c r="F11" s="1"/>
      <c r="G11" s="1"/>
      <c r="H11" s="1"/>
      <c r="I11" s="8">
        <f xml:space="preserve"> AVERAGE(I2:I10)</f>
        <v>4.333333333333333</v>
      </c>
      <c r="J11" s="8">
        <f xml:space="preserve"> AVERAGE(J2:J10)</f>
        <v>4.1111111111111107</v>
      </c>
      <c r="K11" s="8">
        <f xml:space="preserve"> AVERAGE(K2:K10)</f>
        <v>4.5555555555555554</v>
      </c>
      <c r="L11" s="8">
        <f>AVERAGE(L2:L10)</f>
        <v>4.4444444444444446</v>
      </c>
      <c r="M11" s="8">
        <f>AVERAGE(M2:M10)</f>
        <v>3.8888888888888888</v>
      </c>
      <c r="N11" s="1"/>
      <c r="O11" s="1"/>
      <c r="P11" s="1"/>
    </row>
    <row r="12" spans="1:23">
      <c r="I12" s="1"/>
    </row>
    <row r="13" spans="1:23">
      <c r="B13"/>
      <c r="D13"/>
      <c r="H13" s="9" t="s">
        <v>7</v>
      </c>
      <c r="I13" s="9" t="s">
        <v>66</v>
      </c>
    </row>
    <row r="14" spans="1:23">
      <c r="B14"/>
      <c r="D14"/>
      <c r="H14" t="s">
        <v>42</v>
      </c>
      <c r="J14" t="s">
        <v>18</v>
      </c>
      <c r="L14" t="s">
        <v>24</v>
      </c>
      <c r="N14" t="s">
        <v>48</v>
      </c>
      <c r="P14" t="s">
        <v>36</v>
      </c>
      <c r="R14" t="s">
        <v>63</v>
      </c>
      <c r="T14" t="s">
        <v>30</v>
      </c>
      <c r="V14" t="s">
        <v>67</v>
      </c>
      <c r="W14" t="s">
        <v>68</v>
      </c>
    </row>
    <row r="15" spans="1:23">
      <c r="B15"/>
      <c r="D15"/>
      <c r="G15" s="9" t="s">
        <v>2</v>
      </c>
      <c r="H15" t="s">
        <v>69</v>
      </c>
      <c r="I15" t="s">
        <v>70</v>
      </c>
      <c r="J15" t="s">
        <v>69</v>
      </c>
      <c r="K15" t="s">
        <v>70</v>
      </c>
      <c r="L15" t="s">
        <v>69</v>
      </c>
      <c r="M15" t="s">
        <v>70</v>
      </c>
      <c r="N15" t="s">
        <v>69</v>
      </c>
      <c r="O15" t="s">
        <v>70</v>
      </c>
      <c r="P15" t="s">
        <v>69</v>
      </c>
      <c r="Q15" t="s">
        <v>70</v>
      </c>
      <c r="R15" t="s">
        <v>69</v>
      </c>
      <c r="S15" t="s">
        <v>70</v>
      </c>
      <c r="T15" t="s">
        <v>69</v>
      </c>
      <c r="U15" t="s">
        <v>70</v>
      </c>
    </row>
    <row r="16" spans="1:23">
      <c r="B16"/>
      <c r="D16"/>
      <c r="G16" s="2">
        <v>46121.536504629628</v>
      </c>
      <c r="J16">
        <v>5</v>
      </c>
      <c r="K16">
        <v>5</v>
      </c>
      <c r="V16">
        <v>5</v>
      </c>
      <c r="W16">
        <v>5</v>
      </c>
    </row>
    <row r="17" spans="2:23">
      <c r="B17"/>
      <c r="D17"/>
      <c r="G17" s="2">
        <v>46121.536990740744</v>
      </c>
      <c r="L17">
        <v>5</v>
      </c>
      <c r="M17">
        <v>3</v>
      </c>
      <c r="V17">
        <v>5</v>
      </c>
      <c r="W17">
        <v>3</v>
      </c>
    </row>
    <row r="18" spans="2:23">
      <c r="B18"/>
      <c r="D18"/>
      <c r="G18" s="2">
        <v>46121.546261574076</v>
      </c>
      <c r="T18">
        <v>1</v>
      </c>
      <c r="U18">
        <v>1</v>
      </c>
      <c r="V18">
        <v>1</v>
      </c>
      <c r="W18">
        <v>1</v>
      </c>
    </row>
    <row r="19" spans="2:23">
      <c r="B19"/>
      <c r="D19"/>
      <c r="G19" s="2">
        <v>46121.616354166668</v>
      </c>
      <c r="P19">
        <v>5</v>
      </c>
      <c r="Q19">
        <v>4</v>
      </c>
      <c r="V19">
        <v>5</v>
      </c>
      <c r="W19">
        <v>4</v>
      </c>
    </row>
    <row r="20" spans="2:23">
      <c r="B20"/>
      <c r="D20"/>
      <c r="G20" s="2">
        <v>46121.666932870372</v>
      </c>
      <c r="H20">
        <v>3</v>
      </c>
      <c r="I20">
        <v>4</v>
      </c>
      <c r="V20">
        <v>3</v>
      </c>
      <c r="W20">
        <v>4</v>
      </c>
    </row>
    <row r="21" spans="2:23">
      <c r="B21"/>
      <c r="D21"/>
      <c r="G21" s="2">
        <v>46122.363969907405</v>
      </c>
      <c r="N21">
        <v>5</v>
      </c>
      <c r="O21">
        <v>5</v>
      </c>
      <c r="V21">
        <v>5</v>
      </c>
      <c r="W21">
        <v>5</v>
      </c>
    </row>
    <row r="22" spans="2:23">
      <c r="B22"/>
      <c r="D22"/>
      <c r="G22" s="2">
        <v>46122.466099537036</v>
      </c>
      <c r="P22">
        <v>5</v>
      </c>
      <c r="Q22">
        <v>5</v>
      </c>
      <c r="V22">
        <v>5</v>
      </c>
      <c r="W22">
        <v>5</v>
      </c>
    </row>
    <row r="23" spans="2:23">
      <c r="B23"/>
      <c r="D23"/>
      <c r="G23" s="2">
        <v>46122.499907407408</v>
      </c>
      <c r="N23">
        <v>5</v>
      </c>
      <c r="O23">
        <v>5</v>
      </c>
      <c r="V23">
        <v>5</v>
      </c>
      <c r="W23">
        <v>5</v>
      </c>
    </row>
    <row r="24" spans="2:23">
      <c r="B24"/>
      <c r="D24"/>
      <c r="G24" s="2">
        <v>46123.675347222219</v>
      </c>
      <c r="R24">
        <v>5</v>
      </c>
      <c r="S24">
        <v>5</v>
      </c>
      <c r="V24">
        <v>5</v>
      </c>
      <c r="W24">
        <v>5</v>
      </c>
    </row>
    <row r="25" spans="2:23">
      <c r="B25"/>
      <c r="D25"/>
      <c r="G25" s="2" t="s">
        <v>71</v>
      </c>
      <c r="H25">
        <v>3</v>
      </c>
      <c r="I25">
        <v>4</v>
      </c>
      <c r="J25">
        <v>5</v>
      </c>
      <c r="K25">
        <v>5</v>
      </c>
      <c r="L25">
        <v>5</v>
      </c>
      <c r="M25">
        <v>3</v>
      </c>
      <c r="N25">
        <v>10</v>
      </c>
      <c r="O25">
        <v>10</v>
      </c>
      <c r="P25">
        <v>10</v>
      </c>
      <c r="Q25">
        <v>9</v>
      </c>
      <c r="R25">
        <v>5</v>
      </c>
      <c r="S25">
        <v>5</v>
      </c>
      <c r="T25">
        <v>1</v>
      </c>
      <c r="U25">
        <v>1</v>
      </c>
      <c r="V25">
        <v>39</v>
      </c>
      <c r="W25">
        <v>37</v>
      </c>
    </row>
    <row r="26" spans="2:23">
      <c r="B26"/>
      <c r="D26"/>
    </row>
    <row r="27" spans="2:23">
      <c r="B27"/>
      <c r="D27"/>
    </row>
    <row r="28" spans="2:23">
      <c r="B28"/>
      <c r="D28"/>
    </row>
    <row r="29" spans="2:23">
      <c r="B29"/>
      <c r="D29"/>
    </row>
    <row r="30" spans="2:23">
      <c r="B30"/>
      <c r="D30"/>
    </row>
    <row r="31" spans="2:23">
      <c r="B31"/>
      <c r="D31"/>
    </row>
    <row r="32" spans="2:23">
      <c r="B32"/>
      <c r="D32"/>
    </row>
    <row r="33" spans="2:4">
      <c r="B33"/>
      <c r="D33"/>
    </row>
    <row r="34" spans="2:4">
      <c r="B34"/>
      <c r="D34"/>
    </row>
  </sheetData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i:0#.f|membership|ntewolde1@my.yearupunited.org</cp:lastModifiedBy>
  <cp:revision/>
  <dcterms:created xsi:type="dcterms:W3CDTF">2026-04-09T17:01:47Z</dcterms:created>
  <dcterms:modified xsi:type="dcterms:W3CDTF">2026-04-12T18:02:45Z</dcterms:modified>
  <cp:category/>
  <cp:contentStatus/>
</cp:coreProperties>
</file>