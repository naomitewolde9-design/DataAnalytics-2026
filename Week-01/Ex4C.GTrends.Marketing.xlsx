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Week-01\"/>
    </mc:Choice>
  </mc:AlternateContent>
  <xr:revisionPtr revIDLastSave="0" documentId="8_{CAC094A5-9950-48FC-89DB-DED2A7463150}" xr6:coauthVersionLast="47" xr6:coauthVersionMax="47" xr10:uidLastSave="{00000000-0000-0000-0000-000000000000}"/>
  <bookViews>
    <workbookView xWindow="-110" yWindow="-110" windowWidth="19420" windowHeight="11500" firstSheet="1" activeTab="1" xr2:uid="{2EAE9130-9E02-4984-B631-B9D81837E9B4}"/>
  </bookViews>
  <sheets>
    <sheet name="by search term" sheetId="1" r:id="rId1"/>
    <sheet name="Sales region lookup" sheetId="3" r:id="rId2"/>
    <sheet name="by state" sheetId="2" r:id="rId3"/>
  </sheets>
  <definedNames>
    <definedName name="_xlnm._FilterDatabase" localSheetId="0" hidden="1">'by search term'!$A$1:$E$52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2" i="3"/>
  <c r="C4" i="3"/>
  <c r="C5" i="3"/>
  <c r="C6" i="3"/>
  <c r="C7" i="3"/>
  <c r="C8" i="3"/>
  <c r="C9" i="3"/>
  <c r="C10" i="3"/>
  <c r="C11" i="3"/>
  <c r="H1" i="1"/>
</calcChain>
</file>

<file path=xl/sharedStrings.xml><?xml version="1.0" encoding="utf-8"?>
<sst xmlns="http://schemas.openxmlformats.org/spreadsheetml/2006/main" count="154" uniqueCount="69">
  <si>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</si>
  <si>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</si>
  <si>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</si>
  <si>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</si>
  <si>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</si>
  <si>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</si>
  <si>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</si>
  <si>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</si>
  <si>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</si>
  <si>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</si>
  <si>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</si>
  <si>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</si>
  <si>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</si>
  <si>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</si>
  <si>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</si>
  <si>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</si>
  <si>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</si>
  <si>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</si>
  <si>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</si>
  <si>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</si>
  <si>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</si>
  <si>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</si>
  <si>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</si>
  <si>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</si>
  <si>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</si>
  <si>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</si>
  <si>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</si>
  <si>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</si>
  <si>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</si>
  <si>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</si>
  <si>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</si>
  <si>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</si>
  <si>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</si>
  <si>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</si>
  <si>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</si>
  <si>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</si>
  <si>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</si>
  <si>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</si>
  <si>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</si>
  <si>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</si>
  <si>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</si>
  <si>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</si>
  <si>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</si>
  <si>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</si>
  <si>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</si>
  <si>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</si>
  <si>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</si>
  <si>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</si>
  <si>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</si>
  <si>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</si>
  <si>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</si>
  <si>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</si>
  <si>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</si>
  <si>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</si>
  <si>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 xml:space="preserve">Data Range </t>
  </si>
  <si>
    <t>2/1/24-2/28/25</t>
  </si>
  <si>
    <t>Hamburger</t>
  </si>
  <si>
    <t>Milkshake</t>
  </si>
  <si>
    <t>Breakup</t>
  </si>
  <si>
    <t>State</t>
  </si>
  <si>
    <t>Sales Region</t>
  </si>
  <si>
    <t>Northwest</t>
  </si>
  <si>
    <t>Nothwest</t>
  </si>
  <si>
    <t>Northcentral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</si>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</sst>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[Ex4C.GTrends.Marketing.xlsx]Sales region lookup!PivotTable2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0-46BC-9428-5093C47DD00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0-46BC-9428-5093C47DD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02591"/>
        <c:axId val="24194063"/>
      </c:barChart>
      <c:catAx>
        <c:axId val="2690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4063"/>
        <c:crosses val="autoZero"/>
        <c:auto val="1"/>
        <c:lblAlgn val="ctr"/>
        <c:lblOffset val="100"/>
        <c:noMultiLvlLbl val="0"/>
      </c:catAx>
      <c:valAx>
        <c:axId val="2419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403224</xdr:colOff>
      <xdr:row>6</xdr:row>
      <xdr:rowOff>127000</xdr:rowOff>
    </xdr:from>
    <xdr:to>
      <xdr:col>11</xdr:col>
      <xdr:colOff>419099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8BFCAE-83D7-ECFD-2E63-9996AB7B8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tewolde" refreshedDate="46122.510399421299" createdVersion="8" refreshedVersion="8" minRefreshableVersion="3" recordCount="10" xr:uid="{3EABC7E5-E4A9-407D-9228-1D91D237A6D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3">
        <s v="Northwest"/>
        <s v="Nothwest"/>
        <s v="North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1"/>
    <n v="0.69"/>
    <n v="0.17"/>
  </r>
  <r>
    <x v="2"/>
    <x v="0"/>
    <n v="0.67"/>
    <n v="0.2"/>
  </r>
  <r>
    <x v="3"/>
    <x v="0"/>
    <n v="0.75"/>
    <n v="0.14000000000000001"/>
  </r>
  <r>
    <x v="4"/>
    <x v="2"/>
    <n v="0.7"/>
    <n v="0.18"/>
  </r>
  <r>
    <x v="5"/>
    <x v="2"/>
    <n v="0.75"/>
    <n v="0.14000000000000001"/>
  </r>
  <r>
    <x v="6"/>
    <x v="2"/>
    <n v="0.69"/>
    <n v="0.18"/>
  </r>
  <r>
    <x v="7"/>
    <x v="2"/>
    <n v="0.68"/>
    <n v="0.19"/>
  </r>
  <r>
    <x v="8"/>
    <x v="2"/>
    <n v="0.66"/>
    <n v="0.2"/>
  </r>
  <r>
    <x v="9"/>
    <x v="2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C1603-9FEB-49E7-A846-9C315098AE3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4FAE-07C5-46C6-A9B6-EF3C6D4A26F8}">
  <dimension ref="A1:K52"/>
  <sheetViews>
    <sheetView workbookViewId="0">
      <pane ySplit="1" topLeftCell="A2" activePane="bottomLeft" state="frozen"/>
      <selection activeCell="C1" sqref="C1"/>
      <selection pane="bottomLeft" activeCell="G48" sqref="G48"/>
    </sheetView>
  </sheetViews>
  <sheetFormatPr defaultRowHeight="14.5" x14ac:dyDescent="0.35"/>
  <cols>
    <col min="2" max="2" width="20.6328125" customWidth="1"/>
    <col min="3" max="3" width="9.90625" customWidth="1"/>
    <col min="4" max="4" width="9.7265625" customWidth="1"/>
    <col min="5" max="5" width="7.54296875" customWidth="1"/>
    <col min="7" max="7" width="10.1796875" customWidth="1"/>
    <col min="10" max="10" width="11.1796875" customWidth="1"/>
    <col min="11" max="11" width="13.179687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00264FAE-07C5-46C6-A9B6-EF3C6D4A26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EF8E-026A-49DF-B112-633EDE96F743}">
  <dimension ref="A1:D26"/>
  <sheetViews>
    <sheetView tabSelected="1" workbookViewId="0">
      <selection activeCell="J10" sqref="J10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9.54296875" bestFit="1" customWidth="1"/>
    <col min="5" max="5" width="8.08984375" bestFit="1" customWidth="1"/>
    <col min="6" max="6" width="8.7265625" bestFit="1" customWidth="1"/>
    <col min="7" max="7" width="11.7265625" bestFit="1" customWidth="1"/>
    <col min="8" max="8" width="6.7265625" bestFit="1" customWidth="1"/>
    <col min="9" max="9" width="12" bestFit="1" customWidth="1"/>
    <col min="10" max="10" width="10.7265625" bestFit="1" customWidth="1"/>
    <col min="11" max="11" width="9.54296875" bestFit="1" customWidth="1"/>
    <col min="12" max="12" width="15.6328125" bestFit="1" customWidth="1"/>
    <col min="13" max="13" width="8.453125" bestFit="1" customWidth="1"/>
    <col min="14" max="14" width="9.54296875" bestFit="1" customWidth="1"/>
    <col min="15" max="15" width="8.08984375" bestFit="1" customWidth="1"/>
    <col min="16" max="16" width="8.7265625" bestFit="1" customWidth="1"/>
    <col min="17" max="17" width="11.7265625" bestFit="1" customWidth="1"/>
    <col min="18" max="18" width="6.7265625" bestFit="1" customWidth="1"/>
    <col min="19" max="19" width="12" bestFit="1" customWidth="1"/>
    <col min="20" max="20" width="10.7265625" bestFit="1" customWidth="1"/>
    <col min="21" max="21" width="9.54296875" bestFit="1" customWidth="1"/>
    <col min="22" max="22" width="20.90625" bestFit="1" customWidth="1"/>
    <col min="23" max="23" width="20.1796875" bestFit="1" customWidth="1"/>
    <col min="24" max="24" width="13.90625" bestFit="1" customWidth="1"/>
    <col min="25" max="25" width="10.453125" bestFit="1" customWidth="1"/>
    <col min="26" max="26" width="13.26953125" bestFit="1" customWidth="1"/>
    <col min="27" max="27" width="20.90625" bestFit="1" customWidth="1"/>
    <col min="28" max="28" width="20.1796875" bestFit="1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t="s">
        <v>43</v>
      </c>
      <c r="B2" t="s">
        <v>61</v>
      </c>
      <c r="C2" s="4">
        <f>VLOOKUP('Sales region lookup'!A2, 'by search term'!B:C,2,FALSE)</f>
        <v>0.68</v>
      </c>
      <c r="D2" s="4">
        <f>_xlfn.XLOOKUP(A2,'by search term'!B1:B52,'by search term'!D1:D52,"not found")</f>
        <v>0.18</v>
      </c>
    </row>
    <row r="3" spans="1:4" x14ac:dyDescent="0.35">
      <c r="A3" t="s">
        <v>41</v>
      </c>
      <c r="B3" t="s">
        <v>62</v>
      </c>
      <c r="C3" s="4">
        <f>VLOOKUP('Sales region lookup'!A3, 'by search term'!B:C,2,FALSE)</f>
        <v>0.69</v>
      </c>
      <c r="D3" s="4">
        <f>_xlfn.XLOOKUP(A3,'by search term'!B2:B53,'by search term'!D2:D53,"not found")</f>
        <v>0.17</v>
      </c>
    </row>
    <row r="4" spans="1:4" x14ac:dyDescent="0.35">
      <c r="A4" t="s">
        <v>20</v>
      </c>
      <c r="B4" t="s">
        <v>61</v>
      </c>
      <c r="C4" s="4">
        <f>VLOOKUP('Sales region lookup'!A4, 'by search term'!B:C, 2,FALSE)</f>
        <v>0.67</v>
      </c>
      <c r="D4" s="4">
        <f>_xlfn.XLOOKUP(A4,'by search term'!B3:B54,'by search term'!D3:D54,"not found")</f>
        <v>0.2</v>
      </c>
    </row>
    <row r="5" spans="1:4" x14ac:dyDescent="0.35">
      <c r="A5" t="s">
        <v>48</v>
      </c>
      <c r="B5" t="s">
        <v>61</v>
      </c>
      <c r="C5" s="4">
        <f>VLOOKUP('Sales region lookup'!A5, 'by search term'!B:C, 2,FALSE)</f>
        <v>0.75</v>
      </c>
      <c r="D5" s="4">
        <f>_xlfn.XLOOKUP(A5,'by search term'!B4:B55,'by search term'!D4:D55,"not found")</f>
        <v>0.14000000000000001</v>
      </c>
    </row>
    <row r="6" spans="1:4" x14ac:dyDescent="0.35">
      <c r="A6" t="s">
        <v>34</v>
      </c>
      <c r="B6" t="s">
        <v>63</v>
      </c>
      <c r="C6" s="4">
        <f>VLOOKUP('Sales region lookup'!A6, 'by search term'!B:C, 2,FALSE)</f>
        <v>0.7</v>
      </c>
      <c r="D6" s="4">
        <f>_xlfn.XLOOKUP(A6,'by search term'!B5:B56,'by search term'!D5:D56,"not found")</f>
        <v>0.18</v>
      </c>
    </row>
    <row r="7" spans="1:4" x14ac:dyDescent="0.35">
      <c r="A7" t="s">
        <v>44</v>
      </c>
      <c r="B7" t="s">
        <v>63</v>
      </c>
      <c r="C7" s="4">
        <f>VLOOKUP('Sales region lookup'!A7, 'by search term'!B:C, 2,FALSE)</f>
        <v>0.75</v>
      </c>
      <c r="D7" s="4">
        <f>_xlfn.XLOOKUP(A7,'by search term'!B6:B57,'by search term'!D6:D57,"not found")</f>
        <v>0.14000000000000001</v>
      </c>
    </row>
    <row r="8" spans="1:4" x14ac:dyDescent="0.35">
      <c r="A8" t="s">
        <v>35</v>
      </c>
      <c r="B8" t="s">
        <v>63</v>
      </c>
      <c r="C8" s="4">
        <f>VLOOKUP('Sales region lookup'!A8, 'by search term'!B:C, 2,FALSE)</f>
        <v>0.69</v>
      </c>
      <c r="D8" s="4">
        <f>_xlfn.XLOOKUP(A8,'by search term'!B7:B58,'by search term'!D7:D58,"not found")</f>
        <v>0.18</v>
      </c>
    </row>
    <row r="9" spans="1:4" x14ac:dyDescent="0.35">
      <c r="A9" t="s">
        <v>36</v>
      </c>
      <c r="B9" t="s">
        <v>63</v>
      </c>
      <c r="C9" s="4">
        <f>VLOOKUP('Sales region lookup'!A9, 'by search term'!B:C, 2,FALSE)</f>
        <v>0.68</v>
      </c>
      <c r="D9" s="4">
        <f>_xlfn.XLOOKUP(A9,'by search term'!B8:B59,'by search term'!D8:D59,"not found")</f>
        <v>0.19</v>
      </c>
    </row>
    <row r="10" spans="1:4" x14ac:dyDescent="0.35">
      <c r="A10" t="s">
        <v>29</v>
      </c>
      <c r="B10" t="s">
        <v>63</v>
      </c>
      <c r="C10" s="4">
        <f>VLOOKUP('Sales region lookup'!A10, 'by search term'!B:C, 2,FALSE)</f>
        <v>0.66</v>
      </c>
      <c r="D10" s="4">
        <f>_xlfn.XLOOKUP(A10,'by search term'!B9:B60,'by search term'!D9:D60,"not found")</f>
        <v>0.2</v>
      </c>
    </row>
    <row r="11" spans="1:4" x14ac:dyDescent="0.35">
      <c r="A11" t="s">
        <v>22</v>
      </c>
      <c r="B11" t="s">
        <v>63</v>
      </c>
      <c r="C11" s="4">
        <f>VLOOKUP('Sales region lookup'!A11, 'by search term'!B:C, 2,FALSE)</f>
        <v>0.67</v>
      </c>
      <c r="D11" s="4">
        <f>_xlfn.XLOOKUP(A11,'by search term'!B10:B61,'by search term'!D10:D61,"not found")</f>
        <v>0.2</v>
      </c>
    </row>
    <row r="13" spans="1:4" x14ac:dyDescent="0.35">
      <c r="A13" s="5" t="s">
        <v>60</v>
      </c>
      <c r="B13" t="s">
        <v>68</v>
      </c>
    </row>
    <row r="15" spans="1:4" x14ac:dyDescent="0.35">
      <c r="A15" s="5" t="s">
        <v>64</v>
      </c>
      <c r="B15" t="s">
        <v>66</v>
      </c>
      <c r="C15" t="s">
        <v>67</v>
      </c>
    </row>
    <row r="16" spans="1:4" x14ac:dyDescent="0.35">
      <c r="A16" s="6" t="s">
        <v>20</v>
      </c>
      <c r="B16" s="1">
        <v>0.67</v>
      </c>
      <c r="C16" s="1">
        <v>0.2</v>
      </c>
    </row>
    <row r="17" spans="1:3" x14ac:dyDescent="0.35">
      <c r="A17" s="6" t="s">
        <v>22</v>
      </c>
      <c r="B17" s="1">
        <v>0.67</v>
      </c>
      <c r="C17" s="1">
        <v>0.2</v>
      </c>
    </row>
    <row r="18" spans="1:3" x14ac:dyDescent="0.35">
      <c r="A18" s="6" t="s">
        <v>36</v>
      </c>
      <c r="B18" s="1">
        <v>0.68</v>
      </c>
      <c r="C18" s="1">
        <v>0.19</v>
      </c>
    </row>
    <row r="19" spans="1:3" x14ac:dyDescent="0.35">
      <c r="A19" s="6" t="s">
        <v>48</v>
      </c>
      <c r="B19" s="1">
        <v>0.75</v>
      </c>
      <c r="C19" s="1">
        <v>0.14000000000000001</v>
      </c>
    </row>
    <row r="20" spans="1:3" x14ac:dyDescent="0.35">
      <c r="A20" s="6" t="s">
        <v>35</v>
      </c>
      <c r="B20" s="1">
        <v>0.69</v>
      </c>
      <c r="C20" s="1">
        <v>0.18</v>
      </c>
    </row>
    <row r="21" spans="1:3" x14ac:dyDescent="0.35">
      <c r="A21" s="6" t="s">
        <v>34</v>
      </c>
      <c r="B21" s="1">
        <v>0.7</v>
      </c>
      <c r="C21" s="1">
        <v>0.18</v>
      </c>
    </row>
    <row r="22" spans="1:3" x14ac:dyDescent="0.35">
      <c r="A22" s="6" t="s">
        <v>41</v>
      </c>
      <c r="B22" s="1">
        <v>0.69</v>
      </c>
      <c r="C22" s="1">
        <v>0.17</v>
      </c>
    </row>
    <row r="23" spans="1:3" x14ac:dyDescent="0.35">
      <c r="A23" s="6" t="s">
        <v>44</v>
      </c>
      <c r="B23" s="1">
        <v>0.75</v>
      </c>
      <c r="C23" s="1">
        <v>0.14000000000000001</v>
      </c>
    </row>
    <row r="24" spans="1:3" x14ac:dyDescent="0.35">
      <c r="A24" s="6" t="s">
        <v>43</v>
      </c>
      <c r="B24" s="1">
        <v>0.68</v>
      </c>
      <c r="C24" s="1">
        <v>0.18</v>
      </c>
    </row>
    <row r="25" spans="1:3" x14ac:dyDescent="0.35">
      <c r="A25" s="6" t="s">
        <v>29</v>
      </c>
      <c r="B25" s="1">
        <v>0.66</v>
      </c>
      <c r="C25" s="1">
        <v>0.2</v>
      </c>
    </row>
    <row r="26" spans="1:3" x14ac:dyDescent="0.35">
      <c r="A26" s="6" t="s">
        <v>65</v>
      </c>
      <c r="B26" s="1">
        <v>6.9399999999999995</v>
      </c>
      <c r="C26" s="1">
        <v>1.7799999999999998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3ECD-AA99-4C47-A750-F2946AB627E4}">
  <dimension ref="A1:AZ4"/>
  <sheetViews>
    <sheetView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AZ1" sqref="AZ1"/>
    </sheetView>
  </sheetViews>
  <sheetFormatPr defaultRowHeight="14.5" x14ac:dyDescent="0.35"/>
  <sheetData>
    <row r="1" spans="1:52" x14ac:dyDescent="0.3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Sales region lookup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2026-04-09T17:33:20Z</dcterms:created>
  <dcterms:modified xsi:type="dcterms:W3CDTF">2026-04-10T16:28:48Z</dcterms:modified>
</cp:coreProperties>
</file>